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o\OneDrive - UNSW\Documents\Work\Botswana\"/>
    </mc:Choice>
  </mc:AlternateContent>
  <xr:revisionPtr revIDLastSave="0" documentId="13_ncr:1_{4C5FDEC5-4C6C-4BFD-98C5-EB16BC1CE8EC}" xr6:coauthVersionLast="47" xr6:coauthVersionMax="47" xr10:uidLastSave="{00000000-0000-0000-0000-000000000000}"/>
  <bookViews>
    <workbookView minimized="1" xWindow="33645" yWindow="4845" windowWidth="21600" windowHeight="11175" xr2:uid="{ADA41B7E-C7D0-4E8E-B9FC-1661336D4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4" i="1"/>
  <c r="F25" i="1"/>
  <c r="F26" i="1"/>
  <c r="F27" i="1"/>
  <c r="F28" i="1"/>
  <c r="F29" i="1"/>
  <c r="F30" i="1"/>
  <c r="F31" i="1"/>
  <c r="F32" i="1"/>
  <c r="F33" i="1"/>
  <c r="F34" i="1"/>
  <c r="F35" i="1"/>
  <c r="F22" i="1"/>
  <c r="F21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7" i="1"/>
  <c r="F17" i="1"/>
  <c r="E18" i="1"/>
  <c r="F18" i="1"/>
  <c r="E19" i="1"/>
  <c r="F19" i="1"/>
  <c r="F3" i="1"/>
  <c r="E3" i="1"/>
</calcChain>
</file>

<file path=xl/sharedStrings.xml><?xml version="1.0" encoding="utf-8"?>
<sst xmlns="http://schemas.openxmlformats.org/spreadsheetml/2006/main" count="81" uniqueCount="17">
  <si>
    <t>Team</t>
  </si>
  <si>
    <t>Date</t>
  </si>
  <si>
    <t>Site</t>
  </si>
  <si>
    <t>Rep</t>
  </si>
  <si>
    <t>Beetle</t>
  </si>
  <si>
    <t>Richness</t>
  </si>
  <si>
    <t>Abundance</t>
  </si>
  <si>
    <t>Spider</t>
  </si>
  <si>
    <t>Angola</t>
  </si>
  <si>
    <t>Burn</t>
  </si>
  <si>
    <t>Fly</t>
  </si>
  <si>
    <t>Unburned</t>
  </si>
  <si>
    <t xml:space="preserve"> Ant</t>
  </si>
  <si>
    <t>FT</t>
  </si>
  <si>
    <t>Termite</t>
  </si>
  <si>
    <t>FY</t>
  </si>
  <si>
    <t>Namibia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</si>
</sst>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750E8-F97F-492E-9CFF-1A8D96B53FD2}">
  <dimension ref="A1:N50"/>
  <sheetViews>
    <sheetView tabSelected="1" zoomScale="90" zoomScaleNormal="90" workbookViewId="0">
      <selection activeCell="L1" sqref="L1:P1048576"/>
    </sheetView>
  </sheetViews>
  <sheetFormatPr defaultRowHeight="15" x14ac:dyDescent="0.25"/>
  <cols>
    <col min="1" max="1" width="8.28515625" bestFit="1" customWidth="1"/>
    <col min="3" max="3" width="9.42578125" bestFit="1" customWidth="1"/>
    <col min="6" max="6" width="10.28515625" bestFit="1" customWidth="1"/>
    <col min="15" max="15" width="45.7109375" customWidth="1"/>
  </cols>
  <sheetData>
    <row r="1" spans="1:14" x14ac:dyDescent="0.25">
      <c r="G1" s="1"/>
      <c r="H1" s="1"/>
      <c r="I1" s="1"/>
      <c r="J1" s="1"/>
      <c r="K1" s="1"/>
      <c r="L1" s="1"/>
      <c r="M1" s="1"/>
      <c r="N1" s="1"/>
    </row>
    <row r="2" spans="1:14" x14ac:dyDescent="0.25">
      <c r="A2" t="s">
        <v>1</v>
      </c>
      <c r="B2" t="s">
        <v>0</v>
      </c>
      <c r="C2" t="s">
        <v>2</v>
      </c>
      <c r="D2" t="s">
        <v>3</v>
      </c>
      <c r="E2" t="s">
        <v>5</v>
      </c>
      <c r="F2" t="s">
        <v>6</v>
      </c>
      <c r="G2" s="1" t="s">
        <v>12</v>
      </c>
      <c r="H2" s="1" t="s">
        <v>4</v>
      </c>
      <c r="I2" s="1" t="s">
        <v>7</v>
      </c>
      <c r="J2" s="1" t="s">
        <v>10</v>
      </c>
      <c r="K2" s="1" t="s">
        <v>14</v>
      </c>
      <c r="L2" s="1"/>
      <c r="M2" s="1"/>
      <c r="N2" s="1"/>
    </row>
    <row r="3" spans="1:14" x14ac:dyDescent="0.25">
      <c r="A3" s="2">
        <v>45475</v>
      </c>
      <c r="B3" t="s">
        <v>8</v>
      </c>
      <c r="C3" t="s">
        <v>9</v>
      </c>
      <c r="D3">
        <v>1</v>
      </c>
      <c r="E3">
        <f>+COUNT(G3:K3)</f>
        <v>1</v>
      </c>
      <c r="F3">
        <f>+SUM(G3:K3)</f>
        <v>1</v>
      </c>
      <c r="I3">
        <v>1</v>
      </c>
    </row>
    <row r="4" spans="1:14" x14ac:dyDescent="0.25">
      <c r="A4" s="2">
        <v>45475</v>
      </c>
      <c r="B4" t="s">
        <v>8</v>
      </c>
      <c r="C4" t="s">
        <v>9</v>
      </c>
      <c r="D4">
        <v>2</v>
      </c>
      <c r="E4">
        <f t="shared" ref="E4:E19" si="0">+COUNT(G4:K4)</f>
        <v>2</v>
      </c>
      <c r="F4">
        <f t="shared" ref="F4:F19" si="1">+SUM(G4:K4)</f>
        <v>2</v>
      </c>
      <c r="H4">
        <v>1</v>
      </c>
      <c r="J4">
        <v>1</v>
      </c>
    </row>
    <row r="5" spans="1:14" x14ac:dyDescent="0.25">
      <c r="A5" s="2">
        <v>45475</v>
      </c>
      <c r="B5" t="s">
        <v>8</v>
      </c>
      <c r="C5" t="s">
        <v>9</v>
      </c>
      <c r="D5">
        <v>3</v>
      </c>
      <c r="E5">
        <f t="shared" si="0"/>
        <v>2</v>
      </c>
      <c r="F5">
        <f t="shared" si="1"/>
        <v>13</v>
      </c>
      <c r="G5">
        <v>11</v>
      </c>
      <c r="H5">
        <v>2</v>
      </c>
    </row>
    <row r="6" spans="1:14" x14ac:dyDescent="0.25">
      <c r="A6" s="2">
        <v>45475</v>
      </c>
      <c r="B6" t="s">
        <v>8</v>
      </c>
      <c r="C6" t="s">
        <v>9</v>
      </c>
      <c r="D6">
        <v>4</v>
      </c>
      <c r="E6">
        <f t="shared" si="0"/>
        <v>2</v>
      </c>
      <c r="F6">
        <f t="shared" si="1"/>
        <v>4</v>
      </c>
      <c r="G6">
        <v>3</v>
      </c>
      <c r="H6">
        <v>1</v>
      </c>
    </row>
    <row r="7" spans="1:14" x14ac:dyDescent="0.25">
      <c r="A7" s="2">
        <v>45475</v>
      </c>
      <c r="B7" t="s">
        <v>8</v>
      </c>
      <c r="C7" t="s">
        <v>9</v>
      </c>
      <c r="D7">
        <v>5</v>
      </c>
      <c r="E7">
        <f t="shared" si="0"/>
        <v>1</v>
      </c>
      <c r="F7">
        <f t="shared" si="1"/>
        <v>1</v>
      </c>
      <c r="G7">
        <v>1</v>
      </c>
    </row>
    <row r="8" spans="1:14" x14ac:dyDescent="0.25">
      <c r="A8" s="2">
        <v>45475</v>
      </c>
      <c r="B8" t="s">
        <v>8</v>
      </c>
      <c r="C8" t="s">
        <v>9</v>
      </c>
      <c r="D8">
        <v>6</v>
      </c>
      <c r="E8">
        <f t="shared" si="0"/>
        <v>3</v>
      </c>
      <c r="F8">
        <f t="shared" si="1"/>
        <v>4</v>
      </c>
      <c r="G8">
        <v>1</v>
      </c>
      <c r="H8">
        <v>2</v>
      </c>
      <c r="I8">
        <v>1</v>
      </c>
    </row>
    <row r="9" spans="1:14" x14ac:dyDescent="0.25">
      <c r="A9" s="2">
        <v>45475</v>
      </c>
      <c r="B9" t="s">
        <v>8</v>
      </c>
      <c r="C9" t="s">
        <v>9</v>
      </c>
      <c r="D9">
        <v>7</v>
      </c>
      <c r="E9">
        <f t="shared" si="0"/>
        <v>0</v>
      </c>
      <c r="F9">
        <f t="shared" si="1"/>
        <v>0</v>
      </c>
    </row>
    <row r="10" spans="1:14" x14ac:dyDescent="0.25">
      <c r="A10" s="2">
        <v>45475</v>
      </c>
      <c r="B10" t="s">
        <v>8</v>
      </c>
      <c r="C10" t="s">
        <v>9</v>
      </c>
      <c r="D10">
        <v>8</v>
      </c>
      <c r="E10">
        <f t="shared" si="0"/>
        <v>3</v>
      </c>
      <c r="F10">
        <f t="shared" si="1"/>
        <v>3</v>
      </c>
      <c r="G10">
        <v>1</v>
      </c>
      <c r="H10">
        <v>1</v>
      </c>
      <c r="I10">
        <v>1</v>
      </c>
    </row>
    <row r="11" spans="1:14" x14ac:dyDescent="0.25">
      <c r="A11" s="2">
        <v>45475</v>
      </c>
      <c r="B11" t="s">
        <v>8</v>
      </c>
      <c r="C11" t="s">
        <v>11</v>
      </c>
      <c r="D11">
        <v>1</v>
      </c>
      <c r="E11">
        <f t="shared" si="0"/>
        <v>1</v>
      </c>
      <c r="F11">
        <f t="shared" si="1"/>
        <v>8</v>
      </c>
      <c r="G11">
        <v>8</v>
      </c>
    </row>
    <row r="12" spans="1:14" x14ac:dyDescent="0.25">
      <c r="A12" s="2">
        <v>45475</v>
      </c>
      <c r="B12" t="s">
        <v>8</v>
      </c>
      <c r="C12" t="s">
        <v>11</v>
      </c>
      <c r="D12">
        <v>2</v>
      </c>
      <c r="E12">
        <f t="shared" si="0"/>
        <v>1</v>
      </c>
      <c r="F12">
        <f t="shared" si="1"/>
        <v>2</v>
      </c>
      <c r="G12">
        <v>2</v>
      </c>
    </row>
    <row r="13" spans="1:14" x14ac:dyDescent="0.25">
      <c r="A13" s="2">
        <v>45475</v>
      </c>
      <c r="B13" t="s">
        <v>8</v>
      </c>
      <c r="C13" t="s">
        <v>11</v>
      </c>
      <c r="D13">
        <v>3</v>
      </c>
      <c r="E13">
        <f t="shared" si="0"/>
        <v>2</v>
      </c>
      <c r="F13">
        <f t="shared" si="1"/>
        <v>3</v>
      </c>
      <c r="G13">
        <v>2</v>
      </c>
      <c r="H13">
        <v>1</v>
      </c>
    </row>
    <row r="14" spans="1:14" x14ac:dyDescent="0.25">
      <c r="A14" s="2">
        <v>45475</v>
      </c>
      <c r="B14" t="s">
        <v>8</v>
      </c>
      <c r="C14" t="s">
        <v>11</v>
      </c>
      <c r="D14">
        <v>4</v>
      </c>
      <c r="E14">
        <f t="shared" si="0"/>
        <v>3</v>
      </c>
      <c r="F14">
        <f t="shared" si="1"/>
        <v>10</v>
      </c>
      <c r="G14">
        <v>8</v>
      </c>
      <c r="J14">
        <v>1</v>
      </c>
      <c r="K14">
        <v>1</v>
      </c>
    </row>
    <row r="15" spans="1:14" x14ac:dyDescent="0.25">
      <c r="A15" s="2">
        <v>45475</v>
      </c>
      <c r="B15" t="s">
        <v>8</v>
      </c>
      <c r="C15" t="s">
        <v>11</v>
      </c>
      <c r="D15">
        <v>5</v>
      </c>
      <c r="E15">
        <f t="shared" si="0"/>
        <v>0</v>
      </c>
      <c r="F15">
        <f t="shared" si="1"/>
        <v>0</v>
      </c>
    </row>
    <row r="16" spans="1:14" x14ac:dyDescent="0.25">
      <c r="A16" s="2">
        <v>45475</v>
      </c>
      <c r="B16" t="s">
        <v>8</v>
      </c>
      <c r="C16" t="s">
        <v>11</v>
      </c>
      <c r="D16">
        <v>6</v>
      </c>
      <c r="E16" t="s">
        <v>15</v>
      </c>
      <c r="F16" t="s">
        <v>13</v>
      </c>
      <c r="G16" t="s">
        <v>13</v>
      </c>
      <c r="H16" t="s">
        <v>13</v>
      </c>
    </row>
    <row r="17" spans="1:11" x14ac:dyDescent="0.25">
      <c r="A17" s="2">
        <v>45475</v>
      </c>
      <c r="B17" t="s">
        <v>8</v>
      </c>
      <c r="C17" t="s">
        <v>11</v>
      </c>
      <c r="D17">
        <v>7</v>
      </c>
      <c r="E17">
        <f t="shared" si="0"/>
        <v>1</v>
      </c>
      <c r="F17">
        <f t="shared" si="1"/>
        <v>11</v>
      </c>
      <c r="G17">
        <v>11</v>
      </c>
    </row>
    <row r="18" spans="1:11" x14ac:dyDescent="0.25">
      <c r="A18" s="2">
        <v>45475</v>
      </c>
      <c r="B18" t="s">
        <v>8</v>
      </c>
      <c r="C18" t="s">
        <v>11</v>
      </c>
      <c r="D18">
        <v>8</v>
      </c>
      <c r="E18">
        <f t="shared" si="0"/>
        <v>1</v>
      </c>
      <c r="F18">
        <f t="shared" si="1"/>
        <v>2</v>
      </c>
      <c r="G18">
        <v>2</v>
      </c>
    </row>
    <row r="19" spans="1:11" x14ac:dyDescent="0.25">
      <c r="A19" s="2">
        <v>45475</v>
      </c>
      <c r="B19" t="s">
        <v>8</v>
      </c>
      <c r="C19" t="s">
        <v>11</v>
      </c>
      <c r="D19">
        <v>9</v>
      </c>
      <c r="E19">
        <f t="shared" si="0"/>
        <v>2</v>
      </c>
      <c r="F19">
        <f t="shared" si="1"/>
        <v>5</v>
      </c>
      <c r="G19">
        <v>4</v>
      </c>
      <c r="H19">
        <v>1</v>
      </c>
    </row>
    <row r="20" spans="1:11" x14ac:dyDescent="0.25">
      <c r="A20" s="2">
        <v>45476</v>
      </c>
      <c r="B20" t="s">
        <v>16</v>
      </c>
      <c r="C20" t="s">
        <v>9</v>
      </c>
      <c r="D20">
        <v>1</v>
      </c>
      <c r="E20">
        <v>3</v>
      </c>
      <c r="F20">
        <v>7</v>
      </c>
      <c r="G20">
        <v>4</v>
      </c>
      <c r="H20">
        <v>3</v>
      </c>
      <c r="I20">
        <v>0</v>
      </c>
      <c r="J20">
        <v>0</v>
      </c>
      <c r="K20">
        <v>0</v>
      </c>
    </row>
    <row r="21" spans="1:11" x14ac:dyDescent="0.25">
      <c r="A21" s="2">
        <v>45476</v>
      </c>
      <c r="B21" t="s">
        <v>16</v>
      </c>
      <c r="C21" t="s">
        <v>9</v>
      </c>
      <c r="D21">
        <v>2</v>
      </c>
      <c r="E21">
        <v>4</v>
      </c>
      <c r="F21">
        <f>G21+H21+I21+J21+K21</f>
        <v>5</v>
      </c>
      <c r="G21">
        <v>1</v>
      </c>
      <c r="H21">
        <v>1</v>
      </c>
      <c r="I21">
        <v>3</v>
      </c>
      <c r="J21">
        <v>0</v>
      </c>
      <c r="K21">
        <v>0</v>
      </c>
    </row>
    <row r="22" spans="1:11" x14ac:dyDescent="0.25">
      <c r="A22" s="2">
        <v>45476</v>
      </c>
      <c r="B22" t="s">
        <v>16</v>
      </c>
      <c r="C22" t="s">
        <v>9</v>
      </c>
      <c r="D22">
        <v>3</v>
      </c>
      <c r="E22">
        <v>4</v>
      </c>
      <c r="F22">
        <f>G22+H22+I22+J22+K22</f>
        <v>5</v>
      </c>
      <c r="G22">
        <v>3</v>
      </c>
      <c r="H22">
        <v>1</v>
      </c>
      <c r="I22">
        <v>1</v>
      </c>
      <c r="J22">
        <v>0</v>
      </c>
      <c r="K22">
        <v>0</v>
      </c>
    </row>
    <row r="23" spans="1:11" x14ac:dyDescent="0.25">
      <c r="A23" s="2">
        <v>45476</v>
      </c>
      <c r="B23" t="s">
        <v>16</v>
      </c>
      <c r="C23" t="s">
        <v>9</v>
      </c>
      <c r="D23">
        <v>4</v>
      </c>
      <c r="E23">
        <v>0</v>
      </c>
      <c r="F23">
        <f t="shared" ref="F23:F35" si="2">G23+H23+I23+J23+K23</f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s="2">
        <v>45476</v>
      </c>
      <c r="B24" t="s">
        <v>16</v>
      </c>
      <c r="C24" t="s">
        <v>9</v>
      </c>
      <c r="D24">
        <v>5</v>
      </c>
      <c r="E24">
        <v>3</v>
      </c>
      <c r="F24">
        <f t="shared" si="2"/>
        <v>3</v>
      </c>
      <c r="G24">
        <v>0</v>
      </c>
      <c r="H24">
        <v>1</v>
      </c>
      <c r="I24">
        <v>2</v>
      </c>
      <c r="J24">
        <v>0</v>
      </c>
      <c r="K24">
        <v>0</v>
      </c>
    </row>
    <row r="25" spans="1:11" x14ac:dyDescent="0.25">
      <c r="A25" s="2">
        <v>45476</v>
      </c>
      <c r="B25" t="s">
        <v>16</v>
      </c>
      <c r="C25" t="s">
        <v>9</v>
      </c>
      <c r="D25">
        <v>6</v>
      </c>
      <c r="E25">
        <v>3</v>
      </c>
      <c r="F25">
        <f t="shared" si="2"/>
        <v>4</v>
      </c>
      <c r="G25">
        <v>2</v>
      </c>
      <c r="H25">
        <v>2</v>
      </c>
      <c r="I25">
        <v>0</v>
      </c>
      <c r="J25">
        <v>0</v>
      </c>
      <c r="K25">
        <v>0</v>
      </c>
    </row>
    <row r="26" spans="1:11" x14ac:dyDescent="0.25">
      <c r="A26" s="2">
        <v>45476</v>
      </c>
      <c r="B26" t="s">
        <v>16</v>
      </c>
      <c r="C26" t="s">
        <v>9</v>
      </c>
      <c r="D26">
        <v>7</v>
      </c>
      <c r="E26">
        <v>0</v>
      </c>
      <c r="F26">
        <f t="shared" si="2"/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s="2">
        <v>45476</v>
      </c>
      <c r="B27" t="s">
        <v>16</v>
      </c>
      <c r="C27" t="s">
        <v>9</v>
      </c>
      <c r="D27">
        <v>8</v>
      </c>
      <c r="E27">
        <v>4</v>
      </c>
      <c r="F27">
        <f t="shared" si="2"/>
        <v>9</v>
      </c>
      <c r="G27">
        <v>3</v>
      </c>
      <c r="H27">
        <v>4</v>
      </c>
      <c r="I27">
        <v>2</v>
      </c>
      <c r="J27">
        <v>0</v>
      </c>
      <c r="K27">
        <v>0</v>
      </c>
    </row>
    <row r="28" spans="1:11" x14ac:dyDescent="0.25">
      <c r="A28" s="2">
        <v>45476</v>
      </c>
      <c r="B28" t="s">
        <v>16</v>
      </c>
      <c r="C28" t="s">
        <v>11</v>
      </c>
      <c r="D28">
        <v>1</v>
      </c>
      <c r="E28">
        <v>2</v>
      </c>
      <c r="F28">
        <f t="shared" si="2"/>
        <v>5</v>
      </c>
      <c r="G28">
        <v>5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s="2">
        <v>45476</v>
      </c>
      <c r="B29" t="s">
        <v>16</v>
      </c>
      <c r="C29" t="s">
        <v>11</v>
      </c>
      <c r="D29">
        <v>2</v>
      </c>
      <c r="E29">
        <v>4</v>
      </c>
      <c r="F29">
        <f t="shared" si="2"/>
        <v>8</v>
      </c>
      <c r="G29">
        <v>4</v>
      </c>
      <c r="H29">
        <v>2</v>
      </c>
      <c r="I29">
        <v>2</v>
      </c>
      <c r="J29">
        <v>0</v>
      </c>
      <c r="K29">
        <v>0</v>
      </c>
    </row>
    <row r="30" spans="1:11" x14ac:dyDescent="0.25">
      <c r="A30" s="2">
        <v>45476</v>
      </c>
      <c r="B30" t="s">
        <v>16</v>
      </c>
      <c r="C30" t="s">
        <v>11</v>
      </c>
      <c r="D30">
        <v>3</v>
      </c>
      <c r="E30">
        <v>3</v>
      </c>
      <c r="F30">
        <f t="shared" si="2"/>
        <v>3</v>
      </c>
      <c r="G30">
        <v>1</v>
      </c>
      <c r="H30">
        <v>0</v>
      </c>
      <c r="I30">
        <v>2</v>
      </c>
      <c r="J30">
        <v>0</v>
      </c>
      <c r="K30">
        <v>0</v>
      </c>
    </row>
    <row r="31" spans="1:11" x14ac:dyDescent="0.25">
      <c r="A31" s="2">
        <v>45476</v>
      </c>
      <c r="B31" t="s">
        <v>16</v>
      </c>
      <c r="C31" t="s">
        <v>11</v>
      </c>
      <c r="D31">
        <v>4</v>
      </c>
      <c r="E31">
        <v>3</v>
      </c>
      <c r="F31">
        <f t="shared" si="2"/>
        <v>2</v>
      </c>
      <c r="G31">
        <v>0</v>
      </c>
      <c r="H31">
        <v>1</v>
      </c>
      <c r="I31">
        <v>1</v>
      </c>
      <c r="J31">
        <v>0</v>
      </c>
      <c r="K31">
        <v>0</v>
      </c>
    </row>
    <row r="32" spans="1:11" x14ac:dyDescent="0.25">
      <c r="A32" s="2">
        <v>45476</v>
      </c>
      <c r="B32" t="s">
        <v>16</v>
      </c>
      <c r="C32" t="s">
        <v>11</v>
      </c>
      <c r="D32">
        <v>5</v>
      </c>
      <c r="E32">
        <v>2</v>
      </c>
      <c r="F32">
        <f t="shared" si="2"/>
        <v>1</v>
      </c>
      <c r="G32">
        <v>0</v>
      </c>
      <c r="H32">
        <v>1</v>
      </c>
      <c r="I32">
        <v>0</v>
      </c>
      <c r="J32">
        <v>0</v>
      </c>
      <c r="K32">
        <v>0</v>
      </c>
    </row>
    <row r="33" spans="1:11" x14ac:dyDescent="0.25">
      <c r="A33" s="2">
        <v>45476</v>
      </c>
      <c r="B33" t="s">
        <v>16</v>
      </c>
      <c r="C33" t="s">
        <v>11</v>
      </c>
      <c r="D33">
        <v>6</v>
      </c>
      <c r="E33">
        <v>2</v>
      </c>
      <c r="F33">
        <f t="shared" si="2"/>
        <v>2</v>
      </c>
      <c r="G33">
        <v>0</v>
      </c>
      <c r="H33">
        <v>0</v>
      </c>
      <c r="I33">
        <v>2</v>
      </c>
      <c r="J33">
        <v>0</v>
      </c>
      <c r="K33">
        <v>0</v>
      </c>
    </row>
    <row r="34" spans="1:11" x14ac:dyDescent="0.25">
      <c r="A34" s="2">
        <v>45476</v>
      </c>
      <c r="B34" t="s">
        <v>16</v>
      </c>
      <c r="C34" t="s">
        <v>11</v>
      </c>
      <c r="D34">
        <v>7</v>
      </c>
      <c r="E34">
        <v>2</v>
      </c>
      <c r="F34">
        <f t="shared" si="2"/>
        <v>1</v>
      </c>
      <c r="G34">
        <v>0</v>
      </c>
      <c r="H34">
        <v>0</v>
      </c>
      <c r="I34">
        <v>1</v>
      </c>
      <c r="J34">
        <v>0</v>
      </c>
      <c r="K34">
        <v>0</v>
      </c>
    </row>
    <row r="35" spans="1:11" x14ac:dyDescent="0.25">
      <c r="A35" s="2">
        <v>45476</v>
      </c>
      <c r="B35" t="s">
        <v>16</v>
      </c>
      <c r="C35" t="s">
        <v>11</v>
      </c>
      <c r="D35">
        <v>8</v>
      </c>
      <c r="E35">
        <v>2</v>
      </c>
      <c r="F35">
        <f t="shared" si="2"/>
        <v>3</v>
      </c>
      <c r="G35">
        <v>3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s="2"/>
    </row>
    <row r="37" spans="1:11" x14ac:dyDescent="0.25">
      <c r="A37" s="2"/>
    </row>
    <row r="38" spans="1:11" x14ac:dyDescent="0.25">
      <c r="A38" s="2"/>
    </row>
    <row r="39" spans="1:11" x14ac:dyDescent="0.25">
      <c r="A39" s="2"/>
    </row>
    <row r="40" spans="1:11" x14ac:dyDescent="0.25">
      <c r="A40" s="2"/>
    </row>
    <row r="41" spans="1:11" x14ac:dyDescent="0.25">
      <c r="A41" s="2"/>
    </row>
    <row r="42" spans="1:11" x14ac:dyDescent="0.25">
      <c r="A42" s="2"/>
    </row>
    <row r="43" spans="1:11" x14ac:dyDescent="0.25">
      <c r="A43" s="2"/>
    </row>
    <row r="44" spans="1:11" x14ac:dyDescent="0.25">
      <c r="A44" s="2"/>
    </row>
    <row r="45" spans="1:11" x14ac:dyDescent="0.25">
      <c r="A45" s="2"/>
    </row>
    <row r="46" spans="1:11" x14ac:dyDescent="0.25">
      <c r="A46" s="2"/>
    </row>
    <row r="47" spans="1:11" x14ac:dyDescent="0.25">
      <c r="A47" s="2"/>
    </row>
    <row r="48" spans="1:11" x14ac:dyDescent="0.25">
      <c r="A48" s="2"/>
    </row>
    <row r="49" spans="1:1" x14ac:dyDescent="0.25">
      <c r="A49" s="2"/>
    </row>
    <row r="50" spans="1:1" x14ac:dyDescent="0.25">
      <c r="A5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F185E34AE8445A258416BCE4C4790" ma:contentTypeVersion="14" ma:contentTypeDescription="Create a new document." ma:contentTypeScope="" ma:versionID="c8d08e421a69b64310d60cfb9ccaff90">
  <xsd:schema xmlns:xsd="http://www.w3.org/2001/XMLSchema" xmlns:xs="http://www.w3.org/2001/XMLSchema" xmlns:p="http://schemas.microsoft.com/office/2006/metadata/properties" xmlns:ns2="caf87056-3fd3-4038-9c52-89882ecde542" xmlns:ns3="4402e8a7-1b7c-4b21-babd-e2cbbfb12e1e" targetNamespace="http://schemas.microsoft.com/office/2006/metadata/properties" ma:root="true" ma:fieldsID="7376ec59a51ae65b260b34b0886cfaf2" ns2:_="" ns3:_="">
    <xsd:import namespace="caf87056-3fd3-4038-9c52-89882ecde542"/>
    <xsd:import namespace="4402e8a7-1b7c-4b21-babd-e2cbbfb12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7056-3fd3-4038-9c52-89882ecd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e8a7-1b7c-4b21-babd-e2cbbfb12e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d48e018-f0f4-41cf-aecd-d8dbd2aa4cdd}" ma:internalName="TaxCatchAll" ma:showField="CatchAllData" ma:web="4402e8a7-1b7c-4b21-babd-e2cbbfb12e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2e8a7-1b7c-4b21-babd-e2cbbfb12e1e" xsi:nil="true"/>
    <lcf76f155ced4ddcb4097134ff3c332f xmlns="caf87056-3fd3-4038-9c52-89882ecde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EE228B-2253-498B-85A0-F8744A498A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603D0A-2213-4B36-88D7-4DA28C9E50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f87056-3fd3-4038-9c52-89882ecde542"/>
    <ds:schemaRef ds:uri="4402e8a7-1b7c-4b21-babd-e2cbbfb12e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9F9F53-3BC7-47BD-A0B8-247C7A09F50F}">
  <ds:schemaRefs>
    <ds:schemaRef ds:uri="http://schemas.microsoft.com/office/2006/metadata/properties"/>
    <ds:schemaRef ds:uri="http://schemas.microsoft.com/office/infopath/2007/PartnerControls"/>
    <ds:schemaRef ds:uri="4402e8a7-1b7c-4b21-babd-e2cbbfb12e1e"/>
    <ds:schemaRef ds:uri="caf87056-3fd3-4038-9c52-89882ecde5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Geog-User</dc:creator>
  <cp:lastModifiedBy>Will Wright</cp:lastModifiedBy>
  <dcterms:created xsi:type="dcterms:W3CDTF">2024-07-02T13:08:07Z</dcterms:created>
  <dcterms:modified xsi:type="dcterms:W3CDTF">2024-11-27T04:24:39Z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0x010100853F185E34AE8445A258416BCE4C4790</vt:lpwstr>
  </property>
  <property fmtid="{D5CDD505-2E9C-101B-9397-08002B2CF9AE}" pid="3" name="Order">
    <vt:r8>26700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